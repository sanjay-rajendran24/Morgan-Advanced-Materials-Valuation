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f9d0b04a3f4eb25/Desktop/Projects/"/>
    </mc:Choice>
  </mc:AlternateContent>
  <xr:revisionPtr revIDLastSave="0" documentId="8_{B0D9E74F-898D-4F4E-98E5-688C5FC1ED7B}" xr6:coauthVersionLast="47" xr6:coauthVersionMax="47" xr10:uidLastSave="{00000000-0000-0000-0000-000000000000}"/>
  <bookViews>
    <workbookView xWindow="-108" yWindow="-108" windowWidth="23256" windowHeight="13176" activeTab="4" xr2:uid="{904EA36D-9749-491F-A816-575B8F138CAD}"/>
  </bookViews>
  <sheets>
    <sheet name="Ratios" sheetId="1" r:id="rId1"/>
    <sheet name="CAPM" sheetId="2" r:id="rId2"/>
    <sheet name="COSTS" sheetId="3" r:id="rId3"/>
    <sheet name="WACC" sheetId="5" r:id="rId4"/>
    <sheet name="PE Valuation" sheetId="7" r:id="rId5"/>
    <sheet name="EBITDA valuation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9" i="8" l="1"/>
  <c r="E23" i="8"/>
  <c r="B20" i="8"/>
  <c r="B22" i="7"/>
  <c r="B26" i="7" s="1"/>
  <c r="B16" i="8"/>
  <c r="H7" i="8"/>
  <c r="F29" i="3"/>
  <c r="F19" i="5"/>
  <c r="G19" i="5"/>
  <c r="G7" i="5"/>
  <c r="G8" i="5"/>
  <c r="G9" i="5"/>
  <c r="G10" i="5"/>
  <c r="G11" i="5"/>
  <c r="G12" i="5"/>
  <c r="G13" i="5"/>
  <c r="G14" i="5"/>
  <c r="G15" i="5"/>
  <c r="G16" i="5"/>
  <c r="G17" i="5"/>
  <c r="G18" i="5"/>
  <c r="G6" i="5"/>
  <c r="F9" i="5"/>
  <c r="F10" i="5"/>
  <c r="F11" i="5"/>
  <c r="F12" i="5"/>
  <c r="F13" i="5"/>
  <c r="F14" i="5"/>
  <c r="F15" i="5"/>
  <c r="F16" i="5"/>
  <c r="F17" i="5"/>
  <c r="F18" i="5"/>
  <c r="F8" i="5"/>
  <c r="F7" i="5"/>
  <c r="F6" i="5"/>
  <c r="D19" i="5"/>
  <c r="H36" i="3"/>
  <c r="H29" i="3"/>
  <c r="H15" i="3"/>
  <c r="H14" i="3"/>
  <c r="H13" i="3"/>
  <c r="H12" i="3"/>
  <c r="H11" i="3"/>
  <c r="H10" i="3"/>
  <c r="H9" i="3"/>
  <c r="H8" i="3"/>
  <c r="C11" i="2" l="1"/>
  <c r="C15" i="1" l="1"/>
  <c r="D15" i="1"/>
  <c r="E15" i="1"/>
  <c r="F15" i="1"/>
  <c r="G15" i="1"/>
  <c r="H15" i="1"/>
  <c r="I15" i="1"/>
  <c r="J15" i="1"/>
  <c r="K15" i="1"/>
  <c r="L15" i="1"/>
  <c r="B15" i="1"/>
  <c r="B16" i="1"/>
  <c r="C16" i="1"/>
  <c r="D16" i="1"/>
  <c r="E16" i="1"/>
  <c r="F16" i="1"/>
  <c r="G16" i="1"/>
  <c r="H16" i="1"/>
  <c r="I16" i="1"/>
  <c r="J16" i="1"/>
  <c r="K16" i="1"/>
  <c r="L16" i="1"/>
  <c r="C8" i="1"/>
  <c r="D8" i="1"/>
  <c r="E8" i="1"/>
  <c r="F8" i="1"/>
  <c r="G8" i="1"/>
  <c r="H8" i="1"/>
  <c r="I8" i="1"/>
  <c r="J8" i="1"/>
  <c r="K8" i="1"/>
  <c r="L8" i="1"/>
  <c r="B8" i="1"/>
  <c r="C17" i="1"/>
  <c r="D17" i="1"/>
  <c r="E17" i="1"/>
  <c r="F17" i="1"/>
  <c r="G17" i="1"/>
  <c r="H17" i="1"/>
  <c r="I17" i="1"/>
  <c r="J17" i="1"/>
  <c r="K17" i="1"/>
  <c r="L17" i="1"/>
  <c r="B17" i="1"/>
  <c r="C6" i="1"/>
  <c r="D6" i="1"/>
  <c r="E6" i="1"/>
  <c r="F6" i="1"/>
  <c r="G6" i="1"/>
  <c r="H6" i="1"/>
  <c r="I6" i="1"/>
  <c r="J6" i="1"/>
  <c r="K6" i="1"/>
  <c r="L6" i="1"/>
  <c r="H5" i="1"/>
  <c r="L5" i="1"/>
  <c r="L4" i="1"/>
  <c r="K5" i="1"/>
  <c r="K4" i="1"/>
  <c r="J4" i="1"/>
  <c r="I5" i="1"/>
  <c r="I4" i="1"/>
  <c r="H4" i="1"/>
  <c r="G4" i="1"/>
  <c r="F4" i="1"/>
  <c r="E4" i="1"/>
  <c r="C4" i="1"/>
  <c r="D4" i="1"/>
  <c r="B5" i="1"/>
  <c r="B4" i="1"/>
  <c r="B6" i="1"/>
</calcChain>
</file>

<file path=xl/sharedStrings.xml><?xml version="1.0" encoding="utf-8"?>
<sst xmlns="http://schemas.openxmlformats.org/spreadsheetml/2006/main" count="114" uniqueCount="101">
  <si>
    <t>Gearing Ratio</t>
  </si>
  <si>
    <t>Interest coverage ratio</t>
  </si>
  <si>
    <t>Years</t>
  </si>
  <si>
    <t xml:space="preserve"> Borrowings</t>
  </si>
  <si>
    <t>Lease Liabilities</t>
  </si>
  <si>
    <t>Total Equity</t>
  </si>
  <si>
    <t>Total Debt</t>
  </si>
  <si>
    <t>Ratios</t>
  </si>
  <si>
    <t xml:space="preserve">Debt to Equity Ratio </t>
  </si>
  <si>
    <t xml:space="preserve">Finance Expense </t>
  </si>
  <si>
    <t>Total Capital</t>
  </si>
  <si>
    <t>EBIT</t>
  </si>
  <si>
    <t>Source: (Morgan Advanced Material Annual Report, 2013 - 2023)</t>
  </si>
  <si>
    <t>Capital Asset Pricing Model (CAPM)</t>
  </si>
  <si>
    <t>R(e) = R(f) + β(R(m) - R(f))</t>
  </si>
  <si>
    <t>R(e) = Cost of equity</t>
  </si>
  <si>
    <t>R(f) = Risk free Rate</t>
  </si>
  <si>
    <t>Where,</t>
  </si>
  <si>
    <t>R(m)= Market Rate</t>
  </si>
  <si>
    <t>β= Beta</t>
  </si>
  <si>
    <t>=3.54%+0.87*(10.89%-3.54%)</t>
  </si>
  <si>
    <t>=3.54%+0.87*(7.35%)</t>
  </si>
  <si>
    <t>Cost of equity R(e)</t>
  </si>
  <si>
    <t>=3.54%+6.394%</t>
  </si>
  <si>
    <t>Cost of borrowings (Senior Notes)</t>
  </si>
  <si>
    <t xml:space="preserve">3.37% US Dollar Senior Notes 2026 </t>
  </si>
  <si>
    <t>1.55% Euro Senior Notes 2026</t>
  </si>
  <si>
    <t>4.87% US Dollar Senior Notes 2026</t>
  </si>
  <si>
    <t>1.74% Euro Senior Notes 2028</t>
  </si>
  <si>
    <t>2.89% Euro Senior Notes 2030</t>
  </si>
  <si>
    <t>5.47% US Dollar Senior Notes 2031</t>
  </si>
  <si>
    <t>5.53% US Dollar Senior Notes 2033</t>
  </si>
  <si>
    <t>5.61% US Dollar Senior Notes 2035</t>
  </si>
  <si>
    <t>Interest</t>
  </si>
  <si>
    <t>Carrying amount(£M)</t>
  </si>
  <si>
    <t xml:space="preserve">SENIOR NOTES(ANNUAL REPORT) </t>
  </si>
  <si>
    <t>The effective rate of tax before specific adjusting items is 25.3% (2022: 27.0%).</t>
  </si>
  <si>
    <t>Interest rate(After Tax)</t>
  </si>
  <si>
    <t>NOTE:8</t>
  </si>
  <si>
    <t>(Taxation)</t>
  </si>
  <si>
    <t>Source:(MAM Annual Report,2023)</t>
  </si>
  <si>
    <t>(note 20 Pg: 178)</t>
  </si>
  <si>
    <t>Cost of Borrowings</t>
  </si>
  <si>
    <t>Bank and Other borrowings</t>
  </si>
  <si>
    <t>Interest rate (After Tax)</t>
  </si>
  <si>
    <t>Cost of Lease Liabilities</t>
  </si>
  <si>
    <t>(note 21 pg 181)</t>
  </si>
  <si>
    <t>carrying amount(£M)</t>
  </si>
  <si>
    <t>carrying amount(£)</t>
  </si>
  <si>
    <t>Note:37 (MAM Annual Report, 2023)</t>
  </si>
  <si>
    <t>(Note 20 pg 178)</t>
  </si>
  <si>
    <t>Weighted average cost of capital</t>
  </si>
  <si>
    <t>Equity</t>
  </si>
  <si>
    <t>Bank and other borrowing</t>
  </si>
  <si>
    <t>Lease liability</t>
  </si>
  <si>
    <t>5.50% Cumulative First Preference shares</t>
  </si>
  <si>
    <t>5.00% Cumulative Second Preference shares</t>
  </si>
  <si>
    <t>TOTAL</t>
  </si>
  <si>
    <t>COSTS</t>
  </si>
  <si>
    <t>CARRYING AMOUNT</t>
  </si>
  <si>
    <t>WEIGHT</t>
  </si>
  <si>
    <t>WACC</t>
  </si>
  <si>
    <t>P/E Ratio</t>
  </si>
  <si>
    <t>=share price/ earning per share</t>
  </si>
  <si>
    <t>(MAM Annual Report,2023) Pg: 144</t>
  </si>
  <si>
    <t>BODYCOTE PLC</t>
  </si>
  <si>
    <t>P/E Ratio of Bodycote</t>
  </si>
  <si>
    <t>Earnings after tax and preference dividend  (MAM)</t>
  </si>
  <si>
    <t>P/E Valuation = P/E ratio * Earnings after tax and preference dividend</t>
  </si>
  <si>
    <t>EBITDA of MAM</t>
  </si>
  <si>
    <t>Earnings before interest tax depreciation and amortisation</t>
  </si>
  <si>
    <t>£(m)</t>
  </si>
  <si>
    <t>Depreciation</t>
  </si>
  <si>
    <t xml:space="preserve">                (MAM Annual Report, 2023) Pg 144, Income statement</t>
  </si>
  <si>
    <t xml:space="preserve">                (MAM Annual Report, 2023) Note 4, Pg 161 </t>
  </si>
  <si>
    <t>EBITDA</t>
  </si>
  <si>
    <t>EBITDA Multiple (Bodycote PLC)</t>
  </si>
  <si>
    <t>= Enterprise value / EBITDA</t>
  </si>
  <si>
    <t>EBITDA Multiple formula</t>
  </si>
  <si>
    <t>Company Value</t>
  </si>
  <si>
    <t>=EBITDA * EBITDA Multiple</t>
  </si>
  <si>
    <t>=</t>
  </si>
  <si>
    <t>P/E Ratio (Yahoo Finance, 2023)</t>
  </si>
  <si>
    <t>=13.4 / 1.84</t>
  </si>
  <si>
    <r>
      <rPr>
        <b/>
        <sz val="11"/>
        <color theme="1"/>
        <rFont val="Arial"/>
        <family val="2"/>
      </rPr>
      <t>Note:</t>
    </r>
    <r>
      <rPr>
        <sz val="11"/>
        <color theme="1"/>
        <rFont val="Arial"/>
        <family val="2"/>
      </rPr>
      <t xml:space="preserve"> Enterprise value is taken  from Yahoo Finance, from valuation measures (Yahoo Finance, 2023)</t>
    </r>
  </si>
  <si>
    <t>Yahoo Finance statistics (Bodycote)</t>
  </si>
  <si>
    <t xml:space="preserve">EBITDA is taken from Yahoo Finance Financial Highlights - Income statement (Yahoo Finance, 2023) </t>
  </si>
  <si>
    <t>Income Statement</t>
  </si>
  <si>
    <t>P/E Ratio of Volex Plc</t>
  </si>
  <si>
    <t>P/E Average</t>
  </si>
  <si>
    <t>=17.86* 76.9</t>
  </si>
  <si>
    <t>Note: The P/E ratio is taken from the summary of both companies in  Yahoo finance right below the Beta Value</t>
  </si>
  <si>
    <t>EBITDA Multiple of Volex Plc</t>
  </si>
  <si>
    <t>Note: EBITDA multiple directly taken from yahoo finance (Volex statistics and in valuation measure)</t>
  </si>
  <si>
    <t>EBITDA Multiple Volex Plc</t>
  </si>
  <si>
    <t>EBITDA Multiple Average</t>
  </si>
  <si>
    <t>= 159.8 *7.43</t>
  </si>
  <si>
    <t>MAM value in (£ milion) = 1187.31</t>
  </si>
  <si>
    <t>P/E Ratio Volex Plc (Yahoo Finance, 2023)</t>
  </si>
  <si>
    <t>VOLEX PLC</t>
  </si>
  <si>
    <t>Source: (Bloomberg, 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</si>
</sst>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11"/>
      <color theme="4"/>
      <name val="Calibri"/>
      <family val="2"/>
      <scheme val="minor"/>
    </font>
    <font>
      <u/>
      <sz val="11"/>
      <color theme="4"/>
      <name val="Arial"/>
      <family val="2"/>
    </font>
    <font>
      <sz val="11"/>
      <color theme="4"/>
      <name val="Calibri"/>
      <family val="2"/>
      <scheme val="minor"/>
    </font>
    <font>
      <b/>
      <u/>
      <sz val="11"/>
      <color theme="4"/>
      <name val="Arial"/>
      <family val="2"/>
    </font>
    <font>
      <b/>
      <u/>
      <sz val="11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5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Fill="1" applyAlignment="1"/>
    <xf numFmtId="0" fontId="3" fillId="3" borderId="0" xfId="0" applyFont="1" applyFill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3" xfId="0" applyFont="1" applyFill="1" applyBorder="1"/>
    <xf numFmtId="0" fontId="2" fillId="3" borderId="0" xfId="0" applyFont="1" applyFill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3" fillId="3" borderId="5" xfId="0" applyFont="1" applyFill="1" applyBorder="1"/>
    <xf numFmtId="0" fontId="3" fillId="3" borderId="6" xfId="0" applyFont="1" applyFill="1" applyBorder="1"/>
    <xf numFmtId="0" fontId="2" fillId="3" borderId="7" xfId="0" applyFont="1" applyFill="1" applyBorder="1" applyAlignment="1">
      <alignment horizontal="center"/>
    </xf>
    <xf numFmtId="0" fontId="3" fillId="3" borderId="8" xfId="0" applyFont="1" applyFill="1" applyBorder="1"/>
    <xf numFmtId="0" fontId="3" fillId="3" borderId="9" xfId="0" applyFont="1" applyFill="1" applyBorder="1"/>
    <xf numFmtId="2" fontId="3" fillId="3" borderId="0" xfId="1" applyNumberFormat="1" applyFont="1" applyFill="1"/>
    <xf numFmtId="2" fontId="3" fillId="3" borderId="0" xfId="0" applyNumberFormat="1" applyFont="1" applyFill="1"/>
    <xf numFmtId="0" fontId="4" fillId="2" borderId="0" xfId="0" applyFont="1" applyFill="1" applyAlignment="1"/>
    <xf numFmtId="0" fontId="4" fillId="2" borderId="0" xfId="0" applyFont="1" applyFill="1"/>
    <xf numFmtId="0" fontId="3" fillId="3" borderId="2" xfId="0" applyFont="1" applyFill="1" applyBorder="1"/>
    <xf numFmtId="0" fontId="3" fillId="3" borderId="10" xfId="0" applyFont="1" applyFill="1" applyBorder="1"/>
    <xf numFmtId="0" fontId="2" fillId="3" borderId="1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3" borderId="3" xfId="0" applyFont="1" applyFill="1" applyBorder="1"/>
    <xf numFmtId="0" fontId="5" fillId="2" borderId="0" xfId="0" applyFont="1" applyFill="1"/>
    <xf numFmtId="0" fontId="6" fillId="2" borderId="0" xfId="0" applyFont="1" applyFill="1"/>
    <xf numFmtId="0" fontId="8" fillId="2" borderId="0" xfId="0" applyFont="1" applyFill="1"/>
    <xf numFmtId="0" fontId="8" fillId="0" borderId="0" xfId="0" applyFont="1"/>
    <xf numFmtId="0" fontId="6" fillId="2" borderId="0" xfId="0" applyFont="1" applyFill="1" applyAlignment="1">
      <alignment horizontal="right"/>
    </xf>
    <xf numFmtId="10" fontId="8" fillId="2" borderId="0" xfId="0" applyNumberFormat="1" applyFont="1" applyFill="1"/>
    <xf numFmtId="2" fontId="8" fillId="2" borderId="0" xfId="0" applyNumberFormat="1" applyFont="1" applyFill="1"/>
    <xf numFmtId="0" fontId="8" fillId="2" borderId="0" xfId="0" applyFont="1" applyFill="1" applyAlignment="1">
      <alignment horizontal="right"/>
    </xf>
    <xf numFmtId="0" fontId="6" fillId="2" borderId="0" xfId="0" applyFont="1" applyFill="1" applyAlignment="1">
      <alignment horizontal="center"/>
    </xf>
    <xf numFmtId="164" fontId="8" fillId="2" borderId="0" xfId="0" quotePrefix="1" applyNumberFormat="1" applyFont="1" applyFill="1"/>
    <xf numFmtId="10" fontId="6" fillId="2" borderId="0" xfId="0" applyNumberFormat="1" applyFont="1" applyFill="1"/>
    <xf numFmtId="0" fontId="8" fillId="2" borderId="0" xfId="0" quotePrefix="1" applyFont="1" applyFill="1"/>
    <xf numFmtId="0" fontId="6" fillId="2" borderId="0" xfId="0" applyFont="1" applyFill="1" applyAlignment="1">
      <alignment horizontal="left"/>
    </xf>
    <xf numFmtId="9" fontId="8" fillId="2" borderId="0" xfId="0" applyNumberFormat="1" applyFont="1" applyFill="1"/>
    <xf numFmtId="2" fontId="8" fillId="2" borderId="0" xfId="0" applyNumberFormat="1" applyFont="1" applyFill="1" applyAlignment="1">
      <alignment horizontal="left"/>
    </xf>
    <xf numFmtId="0" fontId="7" fillId="0" borderId="12" xfId="0" applyFont="1" applyBorder="1"/>
    <xf numFmtId="0" fontId="8" fillId="2" borderId="12" xfId="0" applyFont="1" applyFill="1" applyBorder="1"/>
    <xf numFmtId="0" fontId="6" fillId="2" borderId="12" xfId="0" applyFont="1" applyFill="1" applyBorder="1"/>
    <xf numFmtId="2" fontId="6" fillId="2" borderId="12" xfId="0" applyNumberFormat="1" applyFont="1" applyFill="1" applyBorder="1" applyAlignment="1">
      <alignment horizontal="left"/>
    </xf>
    <xf numFmtId="0" fontId="8" fillId="2" borderId="0" xfId="0" quotePrefix="1" applyFont="1" applyFill="1" applyBorder="1"/>
    <xf numFmtId="0" fontId="8" fillId="2" borderId="0" xfId="0" applyFont="1" applyFill="1" applyBorder="1"/>
    <xf numFmtId="0" fontId="9" fillId="2" borderId="0" xfId="2" applyFill="1"/>
    <xf numFmtId="0" fontId="10" fillId="2" borderId="0" xfId="2" applyFont="1" applyFill="1"/>
    <xf numFmtId="0" fontId="11" fillId="2" borderId="0" xfId="2" applyFont="1" applyFill="1"/>
    <xf numFmtId="0" fontId="8" fillId="2" borderId="13" xfId="0" applyFont="1" applyFill="1" applyBorder="1"/>
    <xf numFmtId="0" fontId="8" fillId="2" borderId="14" xfId="0" applyFont="1" applyFill="1" applyBorder="1"/>
    <xf numFmtId="0" fontId="12" fillId="2" borderId="0" xfId="2" applyFont="1" applyFill="1"/>
    <xf numFmtId="0" fontId="6" fillId="2" borderId="0" xfId="0" applyFont="1" applyFill="1" applyBorder="1"/>
    <xf numFmtId="2" fontId="8" fillId="2" borderId="0" xfId="0" applyNumberFormat="1" applyFont="1" applyFill="1" applyAlignment="1">
      <alignment horizontal="right"/>
    </xf>
    <xf numFmtId="0" fontId="13" fillId="2" borderId="0" xfId="0" applyFont="1" applyFill="1"/>
    <xf numFmtId="0" fontId="14" fillId="2" borderId="0" xfId="2" applyFont="1" applyFill="1"/>
    <xf numFmtId="0" fontId="15" fillId="2" borderId="0" xfId="2" applyFont="1" applyFill="1"/>
    <xf numFmtId="2" fontId="6" fillId="2" borderId="0" xfId="0" applyNumberFormat="1" applyFont="1" applyFill="1" applyAlignment="1">
      <alignment horizontal="left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457200</xdr:colOff>
      <xdr:row>3</xdr:row>
      <xdr:rowOff>83820</xdr:rowOff>
    </xdr:from>
    <xdr:to>
      <xdr:col>17</xdr:col>
      <xdr:colOff>297180</xdr:colOff>
      <xdr:row>14</xdr:row>
      <xdr:rowOff>137160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4B3FDB4-BA9C-4507-A943-E2C922752658}"/>
            </a:ext>
          </a:extLst>
        </xdr:cNvPr>
        <xdr:cNvSpPr txBox="1"/>
      </xdr:nvSpPr>
      <xdr:spPr>
        <a:xfrm>
          <a:off x="9517380" y="678180"/>
          <a:ext cx="2887980" cy="2263140"/>
        </a:xfrm>
        <a:prstGeom prst="rect">
          <a:avLst/>
        </a:prstGeom>
        <a:solidFill>
          <a:schemeClr val="lt1"/>
        </a:solidFill>
        <a:ln w="254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>
              <a:latin typeface="Arial" panose="020B0604020202020204" pitchFamily="34" charset="0"/>
              <a:cs typeface="Arial" panose="020B0604020202020204" pitchFamily="34" charset="0"/>
            </a:rPr>
            <a:t>Formula:</a:t>
          </a:r>
        </a:p>
        <a:p>
          <a:endParaRPr lang="en-GB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GB" sz="1100" b="1">
              <a:latin typeface="Arial" panose="020B0604020202020204" pitchFamily="34" charset="0"/>
              <a:cs typeface="Arial" panose="020B0604020202020204" pitchFamily="34" charset="0"/>
            </a:rPr>
            <a:t>Gearing Ratio</a:t>
          </a:r>
          <a:r>
            <a:rPr lang="en-GB" sz="1100" b="1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GB" sz="1100" baseline="0">
              <a:latin typeface="Arial" panose="020B0604020202020204" pitchFamily="34" charset="0"/>
              <a:cs typeface="Arial" panose="020B0604020202020204" pitchFamily="34" charset="0"/>
            </a:rPr>
            <a:t>- Non-current</a:t>
          </a:r>
          <a:r>
            <a:rPr lang="en-GB" sz="1100">
              <a:latin typeface="Arial" panose="020B0604020202020204" pitchFamily="34" charset="0"/>
              <a:cs typeface="Arial" panose="020B0604020202020204" pitchFamily="34" charset="0"/>
            </a:rPr>
            <a:t> Borrowings</a:t>
          </a:r>
          <a:r>
            <a:rPr lang="en-GB" sz="11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GB" sz="1200" b="1" baseline="0">
              <a:latin typeface="Arial" panose="020B0604020202020204" pitchFamily="34" charset="0"/>
              <a:cs typeface="Arial" panose="020B0604020202020204" pitchFamily="34" charset="0"/>
            </a:rPr>
            <a:t>/</a:t>
          </a:r>
          <a:r>
            <a:rPr lang="en-GB" sz="1100" baseline="0">
              <a:latin typeface="Arial" panose="020B0604020202020204" pitchFamily="34" charset="0"/>
              <a:cs typeface="Arial" panose="020B0604020202020204" pitchFamily="34" charset="0"/>
            </a:rPr>
            <a:t> (Total Equity+Non-current borrowings)*100</a:t>
          </a:r>
        </a:p>
        <a:p>
          <a:endParaRPr lang="en-GB" sz="11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GB" sz="1100" baseline="0">
              <a:latin typeface="Arial" panose="020B0604020202020204" pitchFamily="34" charset="0"/>
              <a:cs typeface="Arial" panose="020B0604020202020204" pitchFamily="34" charset="0"/>
            </a:rPr>
            <a:t>Non current borrowings includes: Short Term &amp; LT Borrowings and Bank OD</a:t>
          </a:r>
        </a:p>
        <a:p>
          <a:endParaRPr lang="en-GB" sz="11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GB" sz="1100" b="1" baseline="0">
              <a:latin typeface="Arial" panose="020B0604020202020204" pitchFamily="34" charset="0"/>
              <a:cs typeface="Arial" panose="020B0604020202020204" pitchFamily="34" charset="0"/>
            </a:rPr>
            <a:t>Debt to Equity Ratio </a:t>
          </a:r>
          <a:r>
            <a:rPr lang="en-GB" sz="1100" baseline="0">
              <a:latin typeface="Arial" panose="020B0604020202020204" pitchFamily="34" charset="0"/>
              <a:cs typeface="Arial" panose="020B0604020202020204" pitchFamily="34" charset="0"/>
            </a:rPr>
            <a:t>- Total Debt </a:t>
          </a:r>
          <a:r>
            <a:rPr lang="en-GB" sz="1200" b="1" baseline="0">
              <a:latin typeface="Arial" panose="020B0604020202020204" pitchFamily="34" charset="0"/>
              <a:cs typeface="Arial" panose="020B0604020202020204" pitchFamily="34" charset="0"/>
            </a:rPr>
            <a:t>/</a:t>
          </a:r>
          <a:r>
            <a:rPr lang="en-GB" sz="1100" baseline="0">
              <a:latin typeface="Arial" panose="020B0604020202020204" pitchFamily="34" charset="0"/>
              <a:cs typeface="Arial" panose="020B0604020202020204" pitchFamily="34" charset="0"/>
            </a:rPr>
            <a:t> Total Equity</a:t>
          </a:r>
        </a:p>
        <a:p>
          <a:endParaRPr lang="en-GB" sz="11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GB" sz="1100" b="1" baseline="0">
              <a:latin typeface="Arial" panose="020B0604020202020204" pitchFamily="34" charset="0"/>
              <a:cs typeface="Arial" panose="020B0604020202020204" pitchFamily="34" charset="0"/>
            </a:rPr>
            <a:t>Interest Coverage Ratio </a:t>
          </a:r>
          <a:r>
            <a:rPr lang="en-GB" sz="1100" baseline="0">
              <a:latin typeface="Arial" panose="020B0604020202020204" pitchFamily="34" charset="0"/>
              <a:cs typeface="Arial" panose="020B0604020202020204" pitchFamily="34" charset="0"/>
            </a:rPr>
            <a:t>- EBIT </a:t>
          </a:r>
          <a:r>
            <a:rPr lang="en-GB" sz="1200" b="1" baseline="0">
              <a:latin typeface="Arial" panose="020B0604020202020204" pitchFamily="34" charset="0"/>
              <a:cs typeface="Arial" panose="020B0604020202020204" pitchFamily="34" charset="0"/>
            </a:rPr>
            <a:t>/</a:t>
          </a:r>
          <a:r>
            <a:rPr lang="en-GB" sz="1100" baseline="0">
              <a:latin typeface="Arial" panose="020B0604020202020204" pitchFamily="34" charset="0"/>
              <a:cs typeface="Arial" panose="020B0604020202020204" pitchFamily="34" charset="0"/>
            </a:rPr>
            <a:t> Finance Expense</a:t>
          </a:r>
          <a:endParaRPr lang="en-GB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243840</xdr:colOff>
      <xdr:row>1</xdr:row>
      <xdr:rowOff>0</xdr:rowOff>
    </xdr:from>
    <xdr:to>
      <xdr:col>17</xdr:col>
      <xdr:colOff>274320</xdr:colOff>
      <xdr:row>19</xdr:row>
      <xdr:rowOff>99060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2DC6D8-FB18-40AB-9070-2A0FE9369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75960" y="182880"/>
          <a:ext cx="4907280" cy="3406140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937260</xdr:colOff>
      <xdr:row>16</xdr:row>
      <xdr:rowOff>60960</xdr:rowOff>
    </xdr:from>
    <xdr:to>
      <xdr:col>10</xdr:col>
      <xdr:colOff>464820</xdr:colOff>
      <xdr:row>22</xdr:row>
      <xdr:rowOff>7620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3A7B4C-0EA5-40EB-8EE9-D8C14DE30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4860" y="2080260"/>
          <a:ext cx="2308860" cy="104394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91440</xdr:colOff>
      <xdr:row>6</xdr:row>
      <xdr:rowOff>22860</xdr:rowOff>
    </xdr:from>
    <xdr:to>
      <xdr:col>14</xdr:col>
      <xdr:colOff>350885</xdr:colOff>
      <xdr:row>8</xdr:row>
      <xdr:rowOff>53374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66D1B4-E910-4645-B39C-065D45270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1120140"/>
          <a:ext cx="4206605" cy="39627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uk.finance.yahoo.com/quote/VLXGF/" TargetMode="External"/><Relationship Id="rId1" Type="http://schemas.openxmlformats.org/officeDocument/2006/relationships/hyperlink" Target="https://uk.finance.yahoo.com/quote/BOY.L/" TargetMode="External"/><Relationship Id="rId4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uk.finance.yahoo.com/quote/BOY.L/key-statistics/" TargetMode="External"/><Relationship Id="rId2" Type="http://schemas.openxmlformats.org/officeDocument/2006/relationships/hyperlink" Target="https://uk.finance.yahoo.com/quote/BOY.L/key-statistics/" TargetMode="External"/><Relationship Id="rId1" Type="http://schemas.openxmlformats.org/officeDocument/2006/relationships/hyperlink" Target="https://corporatefinanceinstitute.com/resources/capital_markets/ebitda-multiple/" TargetMode="External"/><Relationship Id="rId6" Type="http://schemas.openxmlformats.org/officeDocument/2006/relationships/drawing" Target="../drawings/drawing4.xm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https://uk.finance.yahoo.com/quote/VLXGF/key-statistic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0B4-7CD2-4741-99F8-F35873E21CFF}">
  <dimension ref="A2:R30"/>
  <sheetViews>
    <sheetView workbookViewId="0">
      <selection activeCell="T6" sqref="T6"/>
    </sheetView>
  </sheetViews>
  <sheetFormatPr defaultRowHeight="14.4" x14ac:dyDescent="0.3"/>
  <cols>
    <col min="1" max="1" width="24" style="1" customWidth="1"/>
    <col min="2" max="2" width="9.5546875" style="1" bestFit="1" customWidth="1"/>
    <col min="3" max="3" width="12.109375" style="1" bestFit="1" customWidth="1"/>
    <col min="4" max="4" width="10" style="1" bestFit="1" customWidth="1"/>
    <col min="5" max="12" width="9.5546875" style="1" bestFit="1" customWidth="1"/>
    <col min="13" max="16384" width="8.88671875" style="1"/>
  </cols>
  <sheetData>
    <row r="2" spans="1:12" ht="15" thickBot="1" x14ac:dyDescent="0.35"/>
    <row r="3" spans="1:12" ht="17.399999999999999" customHeight="1" thickBot="1" x14ac:dyDescent="0.35">
      <c r="A3" s="5" t="s">
        <v>2</v>
      </c>
      <c r="B3" s="6">
        <v>2013</v>
      </c>
      <c r="C3" s="6">
        <v>2014</v>
      </c>
      <c r="D3" s="6">
        <v>2015</v>
      </c>
      <c r="E3" s="6">
        <v>2016</v>
      </c>
      <c r="F3" s="6">
        <v>2017</v>
      </c>
      <c r="G3" s="6">
        <v>2018</v>
      </c>
      <c r="H3" s="6">
        <v>2019</v>
      </c>
      <c r="I3" s="6">
        <v>2020</v>
      </c>
      <c r="J3" s="6">
        <v>2021</v>
      </c>
      <c r="K3" s="6">
        <v>2022</v>
      </c>
      <c r="L3" s="7">
        <v>2023</v>
      </c>
    </row>
    <row r="4" spans="1:12" ht="25.2" customHeight="1" x14ac:dyDescent="0.3">
      <c r="A4" s="21" t="s">
        <v>3</v>
      </c>
      <c r="B4" s="4">
        <f>201.5+61</f>
        <v>262.5</v>
      </c>
      <c r="C4" s="4">
        <f>232.9+37.1</f>
        <v>270</v>
      </c>
      <c r="D4" s="4">
        <f>257.4+8.4</f>
        <v>265.79999999999995</v>
      </c>
      <c r="E4" s="4">
        <f>204+160.9</f>
        <v>364.9</v>
      </c>
      <c r="F4" s="4">
        <f>192.7+39</f>
        <v>231.7</v>
      </c>
      <c r="G4" s="4">
        <f>164.8+82.8</f>
        <v>247.60000000000002</v>
      </c>
      <c r="H4" s="4">
        <f>176.2+49.3</f>
        <v>225.5</v>
      </c>
      <c r="I4" s="4">
        <f>177.5+71.3</f>
        <v>248.8</v>
      </c>
      <c r="J4" s="4">
        <f>174+9.8</f>
        <v>183.8</v>
      </c>
      <c r="K4" s="4">
        <f>230.1+36.1</f>
        <v>266.2</v>
      </c>
      <c r="L4" s="4">
        <f>309.1+0.6</f>
        <v>309.70000000000005</v>
      </c>
    </row>
    <row r="5" spans="1:12" ht="15" thickBot="1" x14ac:dyDescent="0.35">
      <c r="A5" s="21" t="s">
        <v>4</v>
      </c>
      <c r="B5" s="4">
        <f>0</f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f>52.6+11.7</f>
        <v>64.3</v>
      </c>
      <c r="I5" s="4">
        <f>43.1+11.5</f>
        <v>54.6</v>
      </c>
      <c r="J5" s="4">
        <v>40</v>
      </c>
      <c r="K5" s="4">
        <f>41.4+10.5</f>
        <v>51.9</v>
      </c>
      <c r="L5" s="4">
        <f>36.6+10.5</f>
        <v>47.1</v>
      </c>
    </row>
    <row r="6" spans="1:12" ht="15" thickBot="1" x14ac:dyDescent="0.35">
      <c r="A6" s="5" t="s">
        <v>6</v>
      </c>
      <c r="B6" s="19">
        <f t="shared" ref="B6:L6" si="0">SUM(B4:B5)</f>
        <v>262.5</v>
      </c>
      <c r="C6" s="19">
        <f t="shared" si="0"/>
        <v>270</v>
      </c>
      <c r="D6" s="19">
        <f t="shared" si="0"/>
        <v>265.79999999999995</v>
      </c>
      <c r="E6" s="19">
        <f t="shared" si="0"/>
        <v>364.9</v>
      </c>
      <c r="F6" s="19">
        <f t="shared" si="0"/>
        <v>231.7</v>
      </c>
      <c r="G6" s="19">
        <f t="shared" si="0"/>
        <v>247.60000000000002</v>
      </c>
      <c r="H6" s="19">
        <f t="shared" si="0"/>
        <v>289.8</v>
      </c>
      <c r="I6" s="19">
        <f t="shared" si="0"/>
        <v>303.40000000000003</v>
      </c>
      <c r="J6" s="19">
        <f t="shared" si="0"/>
        <v>223.8</v>
      </c>
      <c r="K6" s="19">
        <f t="shared" si="0"/>
        <v>318.09999999999997</v>
      </c>
      <c r="L6" s="20">
        <f t="shared" si="0"/>
        <v>356.80000000000007</v>
      </c>
    </row>
    <row r="7" spans="1:12" ht="15" thickBot="1" x14ac:dyDescent="0.35">
      <c r="A7" s="21" t="s">
        <v>5</v>
      </c>
      <c r="B7" s="4">
        <v>274.10000000000002</v>
      </c>
      <c r="C7" s="4">
        <v>187.7</v>
      </c>
      <c r="D7" s="4">
        <v>186.4</v>
      </c>
      <c r="E7" s="4">
        <v>164.7</v>
      </c>
      <c r="F7" s="4">
        <v>234.3</v>
      </c>
      <c r="G7" s="4">
        <v>277.2</v>
      </c>
      <c r="H7" s="4">
        <v>312.2</v>
      </c>
      <c r="I7" s="4">
        <v>240</v>
      </c>
      <c r="J7" s="4">
        <v>349.6</v>
      </c>
      <c r="K7" s="4">
        <v>429.6</v>
      </c>
      <c r="L7" s="4">
        <v>398.6</v>
      </c>
    </row>
    <row r="8" spans="1:12" ht="15" thickBot="1" x14ac:dyDescent="0.35">
      <c r="A8" s="22" t="s">
        <v>10</v>
      </c>
      <c r="B8" s="19">
        <f t="shared" ref="B8:L8" si="1">B6+B7</f>
        <v>536.6</v>
      </c>
      <c r="C8" s="19">
        <f t="shared" si="1"/>
        <v>457.7</v>
      </c>
      <c r="D8" s="19">
        <f t="shared" si="1"/>
        <v>452.19999999999993</v>
      </c>
      <c r="E8" s="19">
        <f t="shared" si="1"/>
        <v>529.59999999999991</v>
      </c>
      <c r="F8" s="19">
        <f t="shared" si="1"/>
        <v>466</v>
      </c>
      <c r="G8" s="19">
        <f t="shared" si="1"/>
        <v>524.79999999999995</v>
      </c>
      <c r="H8" s="19">
        <f t="shared" si="1"/>
        <v>602</v>
      </c>
      <c r="I8" s="19">
        <f t="shared" si="1"/>
        <v>543.40000000000009</v>
      </c>
      <c r="J8" s="19">
        <f t="shared" si="1"/>
        <v>573.40000000000009</v>
      </c>
      <c r="K8" s="19">
        <f t="shared" si="1"/>
        <v>747.7</v>
      </c>
      <c r="L8" s="23">
        <f t="shared" si="1"/>
        <v>755.40000000000009</v>
      </c>
    </row>
    <row r="9" spans="1:12" ht="15" thickBot="1" x14ac:dyDescent="0.35"/>
    <row r="10" spans="1:12" x14ac:dyDescent="0.3">
      <c r="A10" s="9" t="s">
        <v>11</v>
      </c>
      <c r="B10" s="10">
        <v>100.2</v>
      </c>
      <c r="C10" s="10">
        <v>104.2</v>
      </c>
      <c r="D10" s="10">
        <v>98.9</v>
      </c>
      <c r="E10" s="10">
        <v>109</v>
      </c>
      <c r="F10" s="10">
        <v>112.4</v>
      </c>
      <c r="G10" s="10">
        <v>116.8</v>
      </c>
      <c r="H10" s="10">
        <v>126.1</v>
      </c>
      <c r="I10" s="10">
        <v>85.6</v>
      </c>
      <c r="J10" s="10">
        <v>118.5</v>
      </c>
      <c r="K10" s="10">
        <v>146.30000000000001</v>
      </c>
      <c r="L10" s="11">
        <v>117</v>
      </c>
    </row>
    <row r="11" spans="1:12" ht="15" thickBot="1" x14ac:dyDescent="0.35">
      <c r="A11" s="12" t="s">
        <v>9</v>
      </c>
      <c r="B11" s="13">
        <v>24.6</v>
      </c>
      <c r="C11" s="13">
        <v>22.9</v>
      </c>
      <c r="D11" s="13">
        <v>20.6</v>
      </c>
      <c r="E11" s="13">
        <v>22.3</v>
      </c>
      <c r="F11" s="13">
        <v>24.3</v>
      </c>
      <c r="G11" s="13">
        <v>14.5</v>
      </c>
      <c r="H11" s="13">
        <v>18.8</v>
      </c>
      <c r="I11" s="13">
        <v>12.8</v>
      </c>
      <c r="J11" s="13">
        <v>10</v>
      </c>
      <c r="K11" s="13">
        <v>10.8</v>
      </c>
      <c r="L11" s="14">
        <v>18</v>
      </c>
    </row>
    <row r="13" spans="1:12" ht="15" thickBot="1" x14ac:dyDescent="0.35"/>
    <row r="14" spans="1:12" ht="15" thickBot="1" x14ac:dyDescent="0.35">
      <c r="A14" s="5" t="s">
        <v>7</v>
      </c>
      <c r="B14" s="6">
        <v>2013</v>
      </c>
      <c r="C14" s="6">
        <v>2014</v>
      </c>
      <c r="D14" s="6">
        <v>2015</v>
      </c>
      <c r="E14" s="6">
        <v>2016</v>
      </c>
      <c r="F14" s="6">
        <v>2017</v>
      </c>
      <c r="G14" s="6">
        <v>2018</v>
      </c>
      <c r="H14" s="6">
        <v>2019</v>
      </c>
      <c r="I14" s="6">
        <v>2020</v>
      </c>
      <c r="J14" s="6">
        <v>2021</v>
      </c>
      <c r="K14" s="6">
        <v>2022</v>
      </c>
      <c r="L14" s="7">
        <v>2023</v>
      </c>
    </row>
    <row r="15" spans="1:12" ht="27" customHeight="1" x14ac:dyDescent="0.3">
      <c r="A15" s="8" t="s">
        <v>8</v>
      </c>
      <c r="B15" s="15">
        <f t="shared" ref="B15:L15" si="2">B6/B7</f>
        <v>0.95767967894928852</v>
      </c>
      <c r="C15" s="15">
        <f t="shared" si="2"/>
        <v>1.4384656366542357</v>
      </c>
      <c r="D15" s="15">
        <f t="shared" si="2"/>
        <v>1.4259656652360513</v>
      </c>
      <c r="E15" s="15">
        <f t="shared" si="2"/>
        <v>2.215543412264724</v>
      </c>
      <c r="F15" s="15">
        <f t="shared" si="2"/>
        <v>0.98890311566367894</v>
      </c>
      <c r="G15" s="15">
        <f t="shared" si="2"/>
        <v>0.89321789321789336</v>
      </c>
      <c r="H15" s="15">
        <f t="shared" si="2"/>
        <v>0.9282511210762332</v>
      </c>
      <c r="I15" s="15">
        <f t="shared" si="2"/>
        <v>1.2641666666666669</v>
      </c>
      <c r="J15" s="15">
        <f t="shared" si="2"/>
        <v>0.64016018306636158</v>
      </c>
      <c r="K15" s="15">
        <f t="shared" si="2"/>
        <v>0.74045623836126617</v>
      </c>
      <c r="L15" s="15">
        <f t="shared" si="2"/>
        <v>0.89513296537882603</v>
      </c>
    </row>
    <row r="16" spans="1:12" x14ac:dyDescent="0.3">
      <c r="A16" s="8" t="s">
        <v>0</v>
      </c>
      <c r="B16" s="16">
        <f t="shared" ref="B16:L16" si="3">B6/(B7+B6)*100</f>
        <v>48.919120387625789</v>
      </c>
      <c r="C16" s="16">
        <f t="shared" si="3"/>
        <v>58.990605199912608</v>
      </c>
      <c r="D16" s="16">
        <f t="shared" si="3"/>
        <v>58.779301194161867</v>
      </c>
      <c r="E16" s="16">
        <f t="shared" si="3"/>
        <v>68.901057401812693</v>
      </c>
      <c r="F16" s="16">
        <f t="shared" si="3"/>
        <v>49.72103004291845</v>
      </c>
      <c r="G16" s="16">
        <f t="shared" si="3"/>
        <v>47.179878048780495</v>
      </c>
      <c r="H16" s="16">
        <f t="shared" si="3"/>
        <v>48.139534883720927</v>
      </c>
      <c r="I16" s="16">
        <f t="shared" si="3"/>
        <v>55.833640044166359</v>
      </c>
      <c r="J16" s="16">
        <f t="shared" si="3"/>
        <v>39.030345308685035</v>
      </c>
      <c r="K16" s="16">
        <f t="shared" si="3"/>
        <v>42.543800989701744</v>
      </c>
      <c r="L16" s="16">
        <f t="shared" si="3"/>
        <v>47.233253905215783</v>
      </c>
    </row>
    <row r="17" spans="1:18" x14ac:dyDescent="0.3">
      <c r="A17" s="8" t="s">
        <v>1</v>
      </c>
      <c r="B17" s="16">
        <f t="shared" ref="B17:L17" si="4">B10/B11</f>
        <v>4.0731707317073171</v>
      </c>
      <c r="C17" s="16">
        <f t="shared" si="4"/>
        <v>4.5502183406113543</v>
      </c>
      <c r="D17" s="16">
        <f t="shared" si="4"/>
        <v>4.8009708737864081</v>
      </c>
      <c r="E17" s="16">
        <f t="shared" si="4"/>
        <v>4.8878923766816138</v>
      </c>
      <c r="F17" s="16">
        <f t="shared" si="4"/>
        <v>4.6255144032921809</v>
      </c>
      <c r="G17" s="16">
        <f t="shared" si="4"/>
        <v>8.0551724137931036</v>
      </c>
      <c r="H17" s="16">
        <f t="shared" si="4"/>
        <v>6.707446808510638</v>
      </c>
      <c r="I17" s="16">
        <f t="shared" si="4"/>
        <v>6.6874999999999991</v>
      </c>
      <c r="J17" s="16">
        <f t="shared" si="4"/>
        <v>11.85</v>
      </c>
      <c r="K17" s="16">
        <f t="shared" si="4"/>
        <v>13.546296296296296</v>
      </c>
      <c r="L17" s="16">
        <f t="shared" si="4"/>
        <v>6.5</v>
      </c>
    </row>
    <row r="19" spans="1:18" ht="15.6" x14ac:dyDescent="0.3">
      <c r="D19" s="17" t="s">
        <v>12</v>
      </c>
      <c r="E19" s="17"/>
      <c r="F19" s="17"/>
      <c r="G19" s="17"/>
      <c r="H19" s="18"/>
      <c r="I19" s="18"/>
      <c r="L19" s="3"/>
      <c r="O19" s="2"/>
      <c r="P19" s="2"/>
    </row>
    <row r="20" spans="1:18" x14ac:dyDescent="0.3">
      <c r="L20" s="2"/>
      <c r="M20" s="2"/>
      <c r="O20" s="2"/>
      <c r="R20" s="2"/>
    </row>
    <row r="21" spans="1:18" x14ac:dyDescent="0.3">
      <c r="L21" s="2"/>
      <c r="M21" s="2"/>
      <c r="O21" s="2"/>
      <c r="R21" s="2"/>
    </row>
    <row r="22" spans="1:18" x14ac:dyDescent="0.3">
      <c r="L22" s="2"/>
      <c r="M22" s="2"/>
      <c r="O22" s="2"/>
      <c r="R22" s="2"/>
    </row>
    <row r="23" spans="1:18" x14ac:dyDescent="0.3">
      <c r="R23" s="2"/>
    </row>
    <row r="24" spans="1:18" x14ac:dyDescent="0.3">
      <c r="R24" s="2"/>
    </row>
    <row r="25" spans="1:18" x14ac:dyDescent="0.3">
      <c r="R25" s="2"/>
    </row>
    <row r="26" spans="1:18" x14ac:dyDescent="0.3">
      <c r="L26" s="2"/>
      <c r="M26" s="2"/>
      <c r="O26" s="2"/>
      <c r="R26" s="2"/>
    </row>
    <row r="27" spans="1:18" x14ac:dyDescent="0.3">
      <c r="L27" s="2"/>
      <c r="M27" s="2"/>
      <c r="O27" s="2"/>
      <c r="R27" s="2"/>
    </row>
    <row r="28" spans="1:18" x14ac:dyDescent="0.3">
      <c r="L28" s="2"/>
      <c r="M28" s="2"/>
      <c r="O28" s="2"/>
      <c r="R28" s="2"/>
    </row>
    <row r="29" spans="1:18" x14ac:dyDescent="0.3">
      <c r="L29" s="2"/>
      <c r="M29" s="2"/>
      <c r="O29" s="2"/>
      <c r="R29" s="2"/>
    </row>
    <row r="30" spans="1:18" x14ac:dyDescent="0.3">
      <c r="L30" s="2"/>
      <c r="M30" s="2"/>
      <c r="O30" s="2"/>
      <c r="R30" s="2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7FFDC-4C41-495C-9F22-7EAA11E64539}">
  <dimension ref="A4:L21"/>
  <sheetViews>
    <sheetView workbookViewId="0">
      <selection activeCell="L22" sqref="L22"/>
    </sheetView>
  </sheetViews>
  <sheetFormatPr defaultRowHeight="14.4" x14ac:dyDescent="0.3"/>
  <cols>
    <col min="1" max="2" width="8.88671875" style="1"/>
    <col min="3" max="3" width="9.5546875" style="1" bestFit="1" customWidth="1"/>
    <col min="4" max="16384" width="8.88671875" style="1"/>
  </cols>
  <sheetData>
    <row r="4" spans="1:9" ht="15.6" x14ac:dyDescent="0.3">
      <c r="B4" s="18" t="s">
        <v>13</v>
      </c>
      <c r="C4" s="18"/>
      <c r="D4" s="18"/>
    </row>
    <row r="6" spans="1:9" x14ac:dyDescent="0.3">
      <c r="B6" s="25" t="s">
        <v>14</v>
      </c>
      <c r="C6" s="25"/>
      <c r="D6" s="25"/>
      <c r="E6" s="26"/>
      <c r="G6" s="25" t="s">
        <v>17</v>
      </c>
      <c r="H6" s="26"/>
      <c r="I6" s="26"/>
    </row>
    <row r="7" spans="1:9" x14ac:dyDescent="0.3">
      <c r="B7" s="26"/>
      <c r="C7" s="26"/>
      <c r="D7" s="26"/>
      <c r="E7" s="26"/>
      <c r="G7" s="26" t="s">
        <v>15</v>
      </c>
      <c r="H7" s="26"/>
      <c r="I7" s="26"/>
    </row>
    <row r="8" spans="1:9" x14ac:dyDescent="0.3">
      <c r="A8" s="26" t="s">
        <v>22</v>
      </c>
      <c r="B8" s="26"/>
      <c r="C8" s="33" t="s">
        <v>20</v>
      </c>
      <c r="D8" s="26"/>
      <c r="E8" s="26"/>
      <c r="G8" s="26" t="s">
        <v>16</v>
      </c>
      <c r="H8" s="26"/>
      <c r="I8" s="34">
        <v>3.5400000000000001E-2</v>
      </c>
    </row>
    <row r="9" spans="1:9" x14ac:dyDescent="0.3">
      <c r="B9" s="31"/>
      <c r="C9" s="35" t="s">
        <v>21</v>
      </c>
      <c r="D9" s="26"/>
      <c r="E9" s="26"/>
      <c r="G9" s="26" t="s">
        <v>18</v>
      </c>
      <c r="H9" s="26"/>
      <c r="I9" s="34">
        <v>0.1089</v>
      </c>
    </row>
    <row r="10" spans="1:9" x14ac:dyDescent="0.3">
      <c r="B10" s="31"/>
      <c r="C10" s="35" t="s">
        <v>23</v>
      </c>
      <c r="D10" s="26"/>
      <c r="E10" s="26"/>
      <c r="G10" s="26" t="s">
        <v>19</v>
      </c>
      <c r="H10" s="26"/>
      <c r="I10" s="25">
        <v>0.87</v>
      </c>
    </row>
    <row r="11" spans="1:9" x14ac:dyDescent="0.3">
      <c r="B11" s="31"/>
      <c r="C11" s="29">
        <f>9.93%</f>
        <v>9.9299999999999999E-2</v>
      </c>
      <c r="D11" s="26"/>
      <c r="E11" s="26"/>
      <c r="F11" s="26"/>
      <c r="G11" s="26"/>
      <c r="H11" s="26"/>
    </row>
    <row r="21" spans="12:12" x14ac:dyDescent="0.3">
      <c r="L21" s="25" t="s">
        <v>100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C9748-7D7E-48FD-83D2-CDDD865EE447}">
  <dimension ref="B3:H37"/>
  <sheetViews>
    <sheetView topLeftCell="A10" workbookViewId="0">
      <selection activeCell="I11" sqref="I11"/>
    </sheetView>
  </sheetViews>
  <sheetFormatPr defaultRowHeight="14.4" x14ac:dyDescent="0.3"/>
  <cols>
    <col min="1" max="5" width="8.88671875" style="1"/>
    <col min="6" max="6" width="9.88671875" style="1" customWidth="1"/>
    <col min="7" max="7" width="21.6640625" style="1" bestFit="1" customWidth="1"/>
    <col min="8" max="8" width="23.33203125" style="1" bestFit="1" customWidth="1"/>
    <col min="9" max="9" width="14.21875" style="1" customWidth="1"/>
    <col min="10" max="16384" width="8.88671875" style="1"/>
  </cols>
  <sheetData>
    <row r="3" spans="2:8" x14ac:dyDescent="0.3">
      <c r="B3" s="26"/>
      <c r="C3" s="26"/>
      <c r="D3" s="26"/>
      <c r="E3" s="26"/>
      <c r="F3" s="26"/>
      <c r="G3" s="26"/>
      <c r="H3" s="26"/>
    </row>
    <row r="4" spans="2:8" x14ac:dyDescent="0.3">
      <c r="B4" s="25" t="s">
        <v>24</v>
      </c>
      <c r="C4" s="25"/>
      <c r="D4" s="25"/>
      <c r="E4" s="25"/>
      <c r="F4" s="25" t="s">
        <v>49</v>
      </c>
      <c r="G4" s="26"/>
      <c r="H4" s="26"/>
    </row>
    <row r="5" spans="2:8" x14ac:dyDescent="0.3">
      <c r="B5" s="26"/>
      <c r="C5" s="26"/>
      <c r="D5" s="26"/>
      <c r="E5" s="26"/>
      <c r="F5" s="26"/>
      <c r="G5" s="26"/>
      <c r="H5" s="26"/>
    </row>
    <row r="6" spans="2:8" x14ac:dyDescent="0.3">
      <c r="B6" s="25" t="s">
        <v>35</v>
      </c>
      <c r="C6" s="25"/>
      <c r="D6" s="25"/>
      <c r="E6" s="25"/>
      <c r="F6" s="28" t="s">
        <v>33</v>
      </c>
      <c r="G6" s="28" t="s">
        <v>34</v>
      </c>
      <c r="H6" s="28" t="s">
        <v>37</v>
      </c>
    </row>
    <row r="7" spans="2:8" x14ac:dyDescent="0.3">
      <c r="B7" s="26"/>
      <c r="C7" s="26"/>
      <c r="D7" s="26"/>
      <c r="E7" s="26"/>
      <c r="F7" s="26"/>
      <c r="G7" s="26"/>
      <c r="H7" s="26"/>
    </row>
    <row r="8" spans="2:8" x14ac:dyDescent="0.3">
      <c r="B8" s="26" t="s">
        <v>25</v>
      </c>
      <c r="C8" s="26"/>
      <c r="D8" s="26"/>
      <c r="E8" s="26"/>
      <c r="F8" s="29">
        <v>3.3700000000000001E-2</v>
      </c>
      <c r="G8" s="26">
        <v>76.599999999999994</v>
      </c>
      <c r="H8" s="30">
        <f>3.37*(1-0.253)</f>
        <v>2.5173900000000002</v>
      </c>
    </row>
    <row r="9" spans="2:8" x14ac:dyDescent="0.3">
      <c r="B9" s="26" t="s">
        <v>26</v>
      </c>
      <c r="C9" s="26"/>
      <c r="D9" s="26"/>
      <c r="E9" s="26"/>
      <c r="F9" s="29">
        <v>1.55E-2</v>
      </c>
      <c r="G9" s="26">
        <v>21.7</v>
      </c>
      <c r="H9" s="30">
        <f>1.55*(1-0.253)</f>
        <v>1.15785</v>
      </c>
    </row>
    <row r="10" spans="2:8" x14ac:dyDescent="0.3">
      <c r="B10" s="27" t="s">
        <v>27</v>
      </c>
      <c r="C10" s="26"/>
      <c r="D10" s="26"/>
      <c r="E10" s="26"/>
      <c r="F10" s="29">
        <v>4.87E-2</v>
      </c>
      <c r="G10" s="26">
        <v>20</v>
      </c>
      <c r="H10" s="30">
        <f>4.87*(1-0.253)</f>
        <v>3.6378900000000001</v>
      </c>
    </row>
    <row r="11" spans="2:8" x14ac:dyDescent="0.3">
      <c r="B11" s="26" t="s">
        <v>28</v>
      </c>
      <c r="C11" s="26"/>
      <c r="D11" s="26"/>
      <c r="E11" s="26"/>
      <c r="F11" s="29">
        <v>1.7399999999999999E-2</v>
      </c>
      <c r="G11" s="26">
        <v>8.6999999999999993</v>
      </c>
      <c r="H11" s="30">
        <f>1.74*(1-0.253)</f>
        <v>1.2997799999999999</v>
      </c>
    </row>
    <row r="12" spans="2:8" x14ac:dyDescent="0.3">
      <c r="B12" s="27" t="s">
        <v>29</v>
      </c>
      <c r="C12" s="26"/>
      <c r="D12" s="26"/>
      <c r="E12" s="26"/>
      <c r="F12" s="29">
        <v>2.8899999999999999E-2</v>
      </c>
      <c r="G12" s="26">
        <v>21.7</v>
      </c>
      <c r="H12" s="30">
        <f>2.89*(1-0.253)</f>
        <v>2.15883</v>
      </c>
    </row>
    <row r="13" spans="2:8" x14ac:dyDescent="0.3">
      <c r="B13" s="26" t="s">
        <v>30</v>
      </c>
      <c r="C13" s="26"/>
      <c r="D13" s="26"/>
      <c r="E13" s="26"/>
      <c r="F13" s="29">
        <v>5.4699999999999999E-2</v>
      </c>
      <c r="G13" s="26">
        <v>7.9</v>
      </c>
      <c r="H13" s="30">
        <f>5.47*(1-0.253)</f>
        <v>4.0860899999999996</v>
      </c>
    </row>
    <row r="14" spans="2:8" x14ac:dyDescent="0.3">
      <c r="B14" s="26" t="s">
        <v>31</v>
      </c>
      <c r="C14" s="26"/>
      <c r="D14" s="26"/>
      <c r="E14" s="26"/>
      <c r="F14" s="29">
        <v>5.5300000000000002E-2</v>
      </c>
      <c r="G14" s="26">
        <v>7.9</v>
      </c>
      <c r="H14" s="30">
        <f>5.53*(1-0.253)</f>
        <v>4.1309100000000001</v>
      </c>
    </row>
    <row r="15" spans="2:8" x14ac:dyDescent="0.3">
      <c r="B15" s="27" t="s">
        <v>32</v>
      </c>
      <c r="C15" s="26"/>
      <c r="D15" s="26"/>
      <c r="E15" s="26"/>
      <c r="F15" s="29">
        <v>5.6099999999999997E-2</v>
      </c>
      <c r="G15" s="26">
        <v>23.7</v>
      </c>
      <c r="H15" s="30">
        <f>5.61*(1-0.253)</f>
        <v>4.1906699999999999</v>
      </c>
    </row>
    <row r="16" spans="2:8" x14ac:dyDescent="0.3">
      <c r="B16" s="26"/>
      <c r="C16" s="26"/>
      <c r="D16" s="26"/>
      <c r="E16" s="26"/>
      <c r="F16" s="26"/>
      <c r="G16" s="26"/>
      <c r="H16" s="26"/>
    </row>
    <row r="17" spans="2:8" x14ac:dyDescent="0.3">
      <c r="B17" s="26"/>
      <c r="C17" s="26"/>
      <c r="D17" s="26"/>
      <c r="E17" s="26"/>
      <c r="F17" s="26"/>
      <c r="G17" s="26"/>
      <c r="H17" s="26"/>
    </row>
    <row r="18" spans="2:8" x14ac:dyDescent="0.3">
      <c r="B18" s="25" t="s">
        <v>38</v>
      </c>
      <c r="C18" s="26" t="s">
        <v>36</v>
      </c>
      <c r="D18" s="26"/>
      <c r="E18" s="26"/>
      <c r="F18" s="26"/>
      <c r="G18" s="26"/>
      <c r="H18" s="26"/>
    </row>
    <row r="19" spans="2:8" x14ac:dyDescent="0.3">
      <c r="B19" s="26" t="s">
        <v>39</v>
      </c>
    </row>
    <row r="20" spans="2:8" x14ac:dyDescent="0.3">
      <c r="B20" s="25" t="s">
        <v>40</v>
      </c>
    </row>
    <row r="24" spans="2:8" x14ac:dyDescent="0.3">
      <c r="B24" s="25" t="s">
        <v>42</v>
      </c>
      <c r="C24" s="25"/>
    </row>
    <row r="26" spans="2:8" x14ac:dyDescent="0.3">
      <c r="F26" s="26" t="s">
        <v>41</v>
      </c>
    </row>
    <row r="27" spans="2:8" x14ac:dyDescent="0.3">
      <c r="F27" s="25" t="s">
        <v>33</v>
      </c>
      <c r="G27" s="32" t="s">
        <v>47</v>
      </c>
      <c r="H27" s="25" t="s">
        <v>44</v>
      </c>
    </row>
    <row r="29" spans="2:8" x14ac:dyDescent="0.3">
      <c r="C29" s="25" t="s">
        <v>43</v>
      </c>
      <c r="F29" s="30">
        <f>1.1/120.5*100</f>
        <v>0.91286307053941917</v>
      </c>
      <c r="G29" s="26">
        <v>120.5</v>
      </c>
      <c r="H29" s="30">
        <f>F29*(1-0.253)</f>
        <v>0.68190871369294614</v>
      </c>
    </row>
    <row r="33" spans="2:8" x14ac:dyDescent="0.3">
      <c r="C33" s="24"/>
      <c r="D33" s="24"/>
    </row>
    <row r="35" spans="2:8" x14ac:dyDescent="0.3">
      <c r="B35" s="25" t="s">
        <v>45</v>
      </c>
      <c r="F35" s="25" t="s">
        <v>33</v>
      </c>
      <c r="G35" s="32" t="s">
        <v>48</v>
      </c>
      <c r="H35" s="25" t="s">
        <v>44</v>
      </c>
    </row>
    <row r="36" spans="2:8" x14ac:dyDescent="0.3">
      <c r="F36" s="26">
        <v>5.03</v>
      </c>
      <c r="G36" s="26">
        <v>36.6</v>
      </c>
      <c r="H36" s="30">
        <f>5.03*(1-0.253)</f>
        <v>3.7574100000000001</v>
      </c>
    </row>
    <row r="37" spans="2:8" x14ac:dyDescent="0.3">
      <c r="E37" s="26" t="s">
        <v>46</v>
      </c>
      <c r="G37" s="31" t="s">
        <v>50</v>
      </c>
      <c r="H37" s="26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D081-B2CA-4BCA-8C2A-CC661AF49A19}">
  <dimension ref="B3:K28"/>
  <sheetViews>
    <sheetView topLeftCell="A3" workbookViewId="0">
      <selection activeCell="G6" sqref="G6"/>
    </sheetView>
  </sheetViews>
  <sheetFormatPr defaultRowHeight="14.4" x14ac:dyDescent="0.3"/>
  <cols>
    <col min="1" max="1" width="8.88671875" style="1"/>
    <col min="2" max="2" width="42.21875" style="1" bestFit="1" customWidth="1"/>
    <col min="3" max="3" width="8.88671875" style="1"/>
    <col min="4" max="4" width="12.6640625" style="1" customWidth="1"/>
    <col min="5" max="5" width="10.21875" style="1" customWidth="1"/>
    <col min="6" max="6" width="10.5546875" style="1" customWidth="1"/>
    <col min="7" max="16384" width="8.88671875" style="1"/>
  </cols>
  <sheetData>
    <row r="3" spans="2:11" x14ac:dyDescent="0.3">
      <c r="B3" s="25" t="s">
        <v>51</v>
      </c>
      <c r="C3" s="26"/>
      <c r="D3" s="26"/>
      <c r="E3" s="26"/>
      <c r="F3" s="26"/>
      <c r="G3" s="26"/>
      <c r="H3" s="26"/>
      <c r="I3" s="26"/>
      <c r="J3" s="26"/>
      <c r="K3" s="26"/>
    </row>
    <row r="4" spans="2:11" x14ac:dyDescent="0.3">
      <c r="B4" s="26"/>
      <c r="C4" s="26"/>
      <c r="D4" s="26"/>
      <c r="E4" s="26"/>
      <c r="F4" s="26"/>
      <c r="G4" s="26"/>
      <c r="H4" s="26"/>
      <c r="I4" s="26"/>
      <c r="J4" s="26"/>
      <c r="K4" s="26"/>
    </row>
    <row r="5" spans="2:11" x14ac:dyDescent="0.3">
      <c r="B5" s="26"/>
      <c r="C5" s="25" t="s">
        <v>58</v>
      </c>
      <c r="D5" s="36" t="s">
        <v>59</v>
      </c>
      <c r="E5" s="25"/>
      <c r="F5" s="36" t="s">
        <v>60</v>
      </c>
      <c r="G5" s="36" t="s">
        <v>61</v>
      </c>
      <c r="H5" s="26"/>
      <c r="I5" s="26"/>
      <c r="J5" s="26"/>
      <c r="K5" s="26"/>
    </row>
    <row r="6" spans="2:11" x14ac:dyDescent="0.3">
      <c r="B6" s="26" t="s">
        <v>52</v>
      </c>
      <c r="C6" s="29">
        <v>9.9299999999999999E-2</v>
      </c>
      <c r="D6" s="26">
        <v>398.6</v>
      </c>
      <c r="E6" s="26"/>
      <c r="F6" s="38">
        <f>$D6/$D$19*100</f>
        <v>53.553674593577853</v>
      </c>
      <c r="G6" s="38">
        <f>$C6*$F6</f>
        <v>5.317879887142281</v>
      </c>
      <c r="H6" s="26"/>
      <c r="I6" s="26"/>
      <c r="J6" s="26"/>
      <c r="K6" s="26"/>
    </row>
    <row r="7" spans="2:11" x14ac:dyDescent="0.3">
      <c r="B7" s="26" t="s">
        <v>53</v>
      </c>
      <c r="C7" s="29">
        <v>6.7000000000000002E-3</v>
      </c>
      <c r="D7" s="26">
        <v>120.5</v>
      </c>
      <c r="E7" s="26"/>
      <c r="F7" s="38">
        <f>$D7/$D$19*100</f>
        <v>16.189708450893452</v>
      </c>
      <c r="G7" s="38">
        <f t="shared" ref="G7:G18" si="0">$C7*$F7</f>
        <v>0.10847104662098613</v>
      </c>
      <c r="H7" s="26"/>
      <c r="I7" s="26"/>
      <c r="J7" s="26"/>
      <c r="K7" s="26"/>
    </row>
    <row r="8" spans="2:11" x14ac:dyDescent="0.3">
      <c r="B8" s="26" t="s">
        <v>54</v>
      </c>
      <c r="C8" s="29">
        <v>3.7600000000000001E-2</v>
      </c>
      <c r="D8" s="26">
        <v>36.6</v>
      </c>
      <c r="E8" s="26"/>
      <c r="F8" s="38">
        <f>$D8/$D$19*100</f>
        <v>4.9173720274083026</v>
      </c>
      <c r="G8" s="38">
        <f t="shared" si="0"/>
        <v>0.18489318823055217</v>
      </c>
      <c r="H8" s="26"/>
      <c r="I8" s="26"/>
      <c r="J8" s="26"/>
      <c r="K8" s="26"/>
    </row>
    <row r="9" spans="2:11" x14ac:dyDescent="0.3">
      <c r="B9" s="26" t="s">
        <v>25</v>
      </c>
      <c r="C9" s="29">
        <v>2.52E-2</v>
      </c>
      <c r="D9" s="26">
        <v>76.599999999999994</v>
      </c>
      <c r="E9" s="26"/>
      <c r="F9" s="38">
        <f t="shared" ref="F9:F18" si="1">$D9/$D$19*100</f>
        <v>10.291549106543057</v>
      </c>
      <c r="G9" s="38">
        <f t="shared" si="0"/>
        <v>0.25934703748488502</v>
      </c>
      <c r="H9" s="26"/>
      <c r="I9" s="26"/>
      <c r="J9" s="26"/>
      <c r="K9" s="26"/>
    </row>
    <row r="10" spans="2:11" x14ac:dyDescent="0.3">
      <c r="B10" s="26" t="s">
        <v>26</v>
      </c>
      <c r="C10" s="29">
        <v>1.1599999999999999E-2</v>
      </c>
      <c r="D10" s="26">
        <v>21.7</v>
      </c>
      <c r="E10" s="26"/>
      <c r="F10" s="38">
        <f t="shared" si="1"/>
        <v>2.9154910654306052</v>
      </c>
      <c r="G10" s="38">
        <f t="shared" si="0"/>
        <v>3.3819696358995018E-2</v>
      </c>
      <c r="H10" s="26"/>
      <c r="I10" s="26"/>
      <c r="J10" s="26"/>
      <c r="K10" s="26"/>
    </row>
    <row r="11" spans="2:11" x14ac:dyDescent="0.3">
      <c r="B11" s="26" t="s">
        <v>27</v>
      </c>
      <c r="C11" s="29">
        <v>3.6400000000000002E-2</v>
      </c>
      <c r="D11" s="26">
        <v>20</v>
      </c>
      <c r="E11" s="26"/>
      <c r="F11" s="38">
        <f t="shared" si="1"/>
        <v>2.6870885395673785</v>
      </c>
      <c r="G11" s="38">
        <f t="shared" si="0"/>
        <v>9.7810022840252586E-2</v>
      </c>
      <c r="H11" s="26"/>
      <c r="I11" s="26"/>
      <c r="J11" s="26"/>
      <c r="K11" s="26"/>
    </row>
    <row r="12" spans="2:11" x14ac:dyDescent="0.3">
      <c r="B12" s="26" t="s">
        <v>28</v>
      </c>
      <c r="C12" s="29">
        <v>1.2999999999999999E-2</v>
      </c>
      <c r="D12" s="26">
        <v>8.6999999999999993</v>
      </c>
      <c r="E12" s="26"/>
      <c r="F12" s="38">
        <f t="shared" si="1"/>
        <v>1.1688835147118093</v>
      </c>
      <c r="G12" s="38">
        <f t="shared" si="0"/>
        <v>1.519548569125352E-2</v>
      </c>
      <c r="H12" s="26"/>
      <c r="I12" s="26"/>
      <c r="J12" s="26"/>
      <c r="K12" s="26"/>
    </row>
    <row r="13" spans="2:11" x14ac:dyDescent="0.3">
      <c r="B13" s="26" t="s">
        <v>29</v>
      </c>
      <c r="C13" s="29">
        <v>2.1600000000000001E-2</v>
      </c>
      <c r="D13" s="26">
        <v>21.7</v>
      </c>
      <c r="E13" s="26"/>
      <c r="F13" s="38">
        <f t="shared" si="1"/>
        <v>2.9154910654306052</v>
      </c>
      <c r="G13" s="38">
        <f t="shared" si="0"/>
        <v>6.297460701330107E-2</v>
      </c>
      <c r="H13" s="26"/>
      <c r="I13" s="26"/>
      <c r="J13" s="26"/>
      <c r="K13" s="26"/>
    </row>
    <row r="14" spans="2:11" x14ac:dyDescent="0.3">
      <c r="B14" s="26" t="s">
        <v>30</v>
      </c>
      <c r="C14" s="37">
        <v>0.04</v>
      </c>
      <c r="D14" s="26">
        <v>7.9</v>
      </c>
      <c r="E14" s="26"/>
      <c r="F14" s="38">
        <f t="shared" si="1"/>
        <v>1.0613999731291144</v>
      </c>
      <c r="G14" s="38">
        <f t="shared" si="0"/>
        <v>4.2455998925164579E-2</v>
      </c>
      <c r="H14" s="26"/>
      <c r="I14" s="26"/>
      <c r="J14" s="26"/>
      <c r="K14" s="26"/>
    </row>
    <row r="15" spans="2:11" x14ac:dyDescent="0.3">
      <c r="B15" s="26" t="s">
        <v>31</v>
      </c>
      <c r="C15" s="29">
        <v>4.1300000000000003E-2</v>
      </c>
      <c r="D15" s="26">
        <v>7.9</v>
      </c>
      <c r="E15" s="26"/>
      <c r="F15" s="38">
        <f t="shared" si="1"/>
        <v>1.0613999731291144</v>
      </c>
      <c r="G15" s="38">
        <f t="shared" si="0"/>
        <v>4.3835818890232428E-2</v>
      </c>
      <c r="H15" s="26"/>
      <c r="I15" s="26"/>
      <c r="J15" s="26"/>
      <c r="K15" s="26"/>
    </row>
    <row r="16" spans="2:11" x14ac:dyDescent="0.3">
      <c r="B16" s="26" t="s">
        <v>32</v>
      </c>
      <c r="C16" s="29">
        <v>4.19E-2</v>
      </c>
      <c r="D16" s="26">
        <v>23.7</v>
      </c>
      <c r="E16" s="26"/>
      <c r="F16" s="38">
        <f t="shared" si="1"/>
        <v>3.1841999193873427</v>
      </c>
      <c r="G16" s="38">
        <f t="shared" si="0"/>
        <v>0.13341797662232965</v>
      </c>
      <c r="H16" s="26"/>
      <c r="I16" s="26"/>
      <c r="J16" s="26"/>
      <c r="K16" s="26"/>
    </row>
    <row r="17" spans="2:11" x14ac:dyDescent="0.3">
      <c r="B17" s="26" t="s">
        <v>55</v>
      </c>
      <c r="C17" s="29">
        <v>4.1099999999999998E-2</v>
      </c>
      <c r="D17" s="26">
        <v>0.1</v>
      </c>
      <c r="E17" s="26"/>
      <c r="F17" s="38">
        <f t="shared" si="1"/>
        <v>1.3435442697836891E-2</v>
      </c>
      <c r="G17" s="38">
        <f t="shared" si="0"/>
        <v>5.5219669488109616E-4</v>
      </c>
      <c r="H17" s="26"/>
      <c r="I17" s="26"/>
      <c r="J17" s="26"/>
      <c r="K17" s="26"/>
    </row>
    <row r="18" spans="2:11" x14ac:dyDescent="0.3">
      <c r="B18" s="26" t="s">
        <v>56</v>
      </c>
      <c r="C18" s="29">
        <v>3.7400000000000003E-2</v>
      </c>
      <c r="D18" s="26">
        <v>0.3</v>
      </c>
      <c r="E18" s="26"/>
      <c r="F18" s="38">
        <f t="shared" si="1"/>
        <v>4.0306328093510674E-2</v>
      </c>
      <c r="G18" s="38">
        <f t="shared" si="0"/>
        <v>1.5074566706972992E-3</v>
      </c>
      <c r="H18" s="26"/>
      <c r="I18" s="26"/>
      <c r="J18" s="26"/>
      <c r="K18" s="26"/>
    </row>
    <row r="19" spans="2:11" ht="15.6" x14ac:dyDescent="0.3">
      <c r="B19" s="39" t="s">
        <v>57</v>
      </c>
      <c r="C19" s="40"/>
      <c r="D19" s="41">
        <f>SUM(D6:D18)</f>
        <v>744.30000000000018</v>
      </c>
      <c r="E19" s="40"/>
      <c r="F19" s="42">
        <f>SUM(F6:F18)</f>
        <v>99.999999999999972</v>
      </c>
      <c r="G19" s="42">
        <f>SUM(G6:G18)</f>
        <v>6.3021604191858103</v>
      </c>
      <c r="H19" s="26"/>
      <c r="I19" s="26"/>
      <c r="J19" s="26"/>
      <c r="K19" s="26"/>
    </row>
    <row r="20" spans="2:11" x14ac:dyDescent="0.3">
      <c r="B20" s="26"/>
      <c r="C20" s="26"/>
      <c r="D20" s="26"/>
      <c r="E20" s="26"/>
      <c r="F20" s="26"/>
      <c r="G20" s="26"/>
      <c r="H20" s="26"/>
      <c r="I20" s="26"/>
      <c r="J20" s="26"/>
      <c r="K20" s="26"/>
    </row>
    <row r="21" spans="2:11" x14ac:dyDescent="0.3">
      <c r="B21" s="26"/>
      <c r="C21" s="26"/>
      <c r="D21" s="26"/>
      <c r="E21" s="26"/>
      <c r="F21" s="26"/>
      <c r="G21" s="26"/>
      <c r="H21" s="26"/>
      <c r="I21" s="26"/>
      <c r="J21" s="26"/>
      <c r="K21" s="26"/>
    </row>
    <row r="22" spans="2:11" x14ac:dyDescent="0.3">
      <c r="B22" s="26"/>
      <c r="C22" s="26"/>
      <c r="D22" s="26"/>
      <c r="E22" s="26"/>
      <c r="F22" s="26"/>
      <c r="G22" s="26"/>
      <c r="H22" s="26"/>
      <c r="I22" s="26"/>
      <c r="J22" s="26"/>
      <c r="K22" s="26"/>
    </row>
    <row r="23" spans="2:11" x14ac:dyDescent="0.3">
      <c r="B23" s="26"/>
      <c r="C23" s="26"/>
      <c r="D23" s="26"/>
      <c r="E23" s="26"/>
      <c r="F23" s="26"/>
      <c r="G23" s="26"/>
      <c r="H23" s="26"/>
      <c r="I23" s="26"/>
      <c r="J23" s="26"/>
      <c r="K23" s="26"/>
    </row>
    <row r="24" spans="2:11" x14ac:dyDescent="0.3">
      <c r="B24" s="26"/>
      <c r="C24" s="26"/>
      <c r="D24" s="26"/>
      <c r="E24" s="26"/>
      <c r="F24" s="26"/>
      <c r="G24" s="26"/>
      <c r="H24" s="26"/>
      <c r="I24" s="26"/>
      <c r="J24" s="26"/>
      <c r="K24" s="26"/>
    </row>
    <row r="25" spans="2:11" x14ac:dyDescent="0.3">
      <c r="B25" s="26"/>
      <c r="C25" s="26"/>
      <c r="D25" s="26"/>
      <c r="E25" s="26"/>
      <c r="F25" s="26"/>
      <c r="G25" s="26"/>
      <c r="H25" s="26"/>
      <c r="I25" s="26"/>
      <c r="J25" s="26"/>
      <c r="K25" s="26"/>
    </row>
    <row r="26" spans="2:11" x14ac:dyDescent="0.3">
      <c r="B26" s="26"/>
      <c r="C26" s="26"/>
      <c r="D26" s="26"/>
      <c r="E26" s="26"/>
      <c r="F26" s="26"/>
      <c r="G26" s="26"/>
      <c r="H26" s="26"/>
      <c r="I26" s="26"/>
      <c r="J26" s="26"/>
      <c r="K26" s="26"/>
    </row>
    <row r="27" spans="2:11" x14ac:dyDescent="0.3">
      <c r="B27" s="26"/>
      <c r="C27" s="26"/>
      <c r="D27" s="26"/>
      <c r="E27" s="26"/>
      <c r="F27" s="26"/>
      <c r="G27" s="26"/>
      <c r="H27" s="26"/>
      <c r="I27" s="26"/>
      <c r="J27" s="26"/>
      <c r="K27" s="26"/>
    </row>
    <row r="28" spans="2:11" x14ac:dyDescent="0.3">
      <c r="B28" s="26"/>
      <c r="C28" s="26"/>
      <c r="D28" s="26"/>
      <c r="E28" s="26"/>
      <c r="F28" s="26"/>
      <c r="G28" s="26"/>
      <c r="H28" s="26"/>
      <c r="I28" s="26"/>
      <c r="J28" s="26"/>
      <c r="K28" s="2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25AE0-8CAE-40D6-9347-2A772ED963C6}">
  <dimension ref="A2:L32"/>
  <sheetViews>
    <sheetView tabSelected="1" topLeftCell="A2" workbookViewId="0">
      <selection activeCell="G36" sqref="G36"/>
    </sheetView>
  </sheetViews>
  <sheetFormatPr defaultRowHeight="14.4" x14ac:dyDescent="0.3"/>
  <cols>
    <col min="1" max="1" width="12.109375" style="1" customWidth="1"/>
    <col min="2" max="2" width="14.88671875" style="1" customWidth="1"/>
    <col min="3" max="4" width="8.88671875" style="1"/>
    <col min="5" max="5" width="11.33203125" style="1" customWidth="1"/>
    <col min="6" max="6" width="8.88671875" style="1"/>
    <col min="7" max="7" width="13.88671875" style="1" bestFit="1" customWidth="1"/>
    <col min="8" max="16384" width="8.88671875" style="1"/>
  </cols>
  <sheetData>
    <row r="2" spans="1:12" x14ac:dyDescent="0.3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x14ac:dyDescent="0.3">
      <c r="A3" s="26"/>
      <c r="F3" s="26"/>
      <c r="G3" s="26"/>
      <c r="H3" s="26"/>
      <c r="I3" s="26"/>
      <c r="J3" s="26"/>
      <c r="K3" s="26"/>
      <c r="L3" s="26"/>
    </row>
    <row r="4" spans="1:12" x14ac:dyDescent="0.3">
      <c r="A4" s="26"/>
      <c r="F4" s="26"/>
      <c r="G4" s="25"/>
      <c r="H4" s="26"/>
      <c r="I4" s="25"/>
      <c r="J4" s="26"/>
      <c r="K4" s="47"/>
      <c r="L4" s="26"/>
    </row>
    <row r="5" spans="1:12" x14ac:dyDescent="0.3">
      <c r="A5" s="44"/>
      <c r="B5" s="51" t="s">
        <v>65</v>
      </c>
      <c r="C5" s="44"/>
      <c r="D5" s="44"/>
      <c r="E5" s="44"/>
      <c r="F5" s="26"/>
      <c r="G5" s="25"/>
      <c r="H5" s="26"/>
      <c r="I5" s="25"/>
      <c r="J5" s="26"/>
      <c r="K5" s="45"/>
      <c r="L5" s="26"/>
    </row>
    <row r="6" spans="1:12" x14ac:dyDescent="0.3">
      <c r="L6" s="26"/>
    </row>
    <row r="7" spans="1:12" x14ac:dyDescent="0.3">
      <c r="A7" s="44" t="s">
        <v>62</v>
      </c>
      <c r="B7" s="43" t="s">
        <v>63</v>
      </c>
      <c r="C7" s="44"/>
      <c r="D7" s="44"/>
      <c r="E7" s="44"/>
      <c r="F7" s="26"/>
      <c r="G7" s="26"/>
      <c r="H7" s="26"/>
      <c r="I7" s="26"/>
      <c r="J7" s="26"/>
      <c r="K7" s="26"/>
      <c r="L7" s="26"/>
    </row>
    <row r="8" spans="1:12" x14ac:dyDescent="0.3">
      <c r="A8" s="26"/>
      <c r="B8" s="26"/>
      <c r="C8" s="26"/>
      <c r="D8" s="26"/>
      <c r="E8" s="25"/>
      <c r="F8" s="25"/>
      <c r="G8" s="25"/>
      <c r="H8" s="26"/>
      <c r="I8" s="26"/>
      <c r="J8" s="26"/>
      <c r="K8" s="26"/>
      <c r="L8" s="26"/>
    </row>
    <row r="9" spans="1:12" x14ac:dyDescent="0.3">
      <c r="A9" s="26" t="s">
        <v>66</v>
      </c>
      <c r="B9" s="26"/>
      <c r="C9" s="52" t="s">
        <v>81</v>
      </c>
      <c r="D9" s="26">
        <v>19.97</v>
      </c>
      <c r="E9" s="54" t="s">
        <v>82</v>
      </c>
      <c r="F9" s="25"/>
      <c r="G9" s="25"/>
      <c r="H9" s="26"/>
      <c r="I9" s="26" t="s">
        <v>91</v>
      </c>
      <c r="J9" s="26"/>
      <c r="K9" s="26"/>
      <c r="L9" s="26"/>
    </row>
    <row r="10" spans="1:12" x14ac:dyDescent="0.3">
      <c r="I10" s="26"/>
      <c r="J10" s="26"/>
      <c r="K10" s="26"/>
      <c r="L10" s="26"/>
    </row>
    <row r="11" spans="1:12" x14ac:dyDescent="0.3">
      <c r="B11" s="25" t="s">
        <v>99</v>
      </c>
      <c r="C11" s="31"/>
      <c r="D11" s="26"/>
      <c r="E11" s="26"/>
      <c r="F11" s="26"/>
      <c r="G11" s="26"/>
      <c r="H11" s="26"/>
      <c r="I11" s="26"/>
      <c r="J11" s="26"/>
      <c r="K11" s="26"/>
      <c r="L11" s="26"/>
    </row>
    <row r="12" spans="1:12" x14ac:dyDescent="0.3">
      <c r="L12" s="26"/>
    </row>
    <row r="13" spans="1:12" x14ac:dyDescent="0.3">
      <c r="A13" s="26" t="s">
        <v>88</v>
      </c>
      <c r="B13" s="26"/>
      <c r="C13" s="31" t="s">
        <v>81</v>
      </c>
      <c r="D13" s="26">
        <v>15.76</v>
      </c>
      <c r="E13" s="55" t="s">
        <v>98</v>
      </c>
      <c r="F13" s="25"/>
      <c r="G13" s="25"/>
      <c r="H13" s="26"/>
      <c r="L13" s="26"/>
    </row>
    <row r="14" spans="1:12" x14ac:dyDescent="0.3">
      <c r="L14" s="26"/>
    </row>
    <row r="15" spans="1:12" x14ac:dyDescent="0.3">
      <c r="L15" s="26"/>
    </row>
    <row r="16" spans="1:12" x14ac:dyDescent="0.3">
      <c r="A16" s="25" t="s">
        <v>67</v>
      </c>
      <c r="B16" s="26"/>
      <c r="C16" s="26"/>
      <c r="D16" s="26"/>
      <c r="E16" s="26"/>
      <c r="F16" s="26">
        <v>76.900000000000006</v>
      </c>
      <c r="G16" s="26"/>
      <c r="H16" s="25" t="s">
        <v>64</v>
      </c>
      <c r="I16" s="26"/>
      <c r="J16" s="26"/>
      <c r="K16" s="26"/>
      <c r="L16" s="26"/>
    </row>
    <row r="17" spans="1:12" x14ac:dyDescent="0.3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</row>
    <row r="18" spans="1:12" x14ac:dyDescent="0.3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</row>
    <row r="19" spans="1:12" x14ac:dyDescent="0.3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</row>
    <row r="20" spans="1:12" x14ac:dyDescent="0.3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</row>
    <row r="21" spans="1:12" x14ac:dyDescent="0.3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</row>
    <row r="22" spans="1:12" x14ac:dyDescent="0.3">
      <c r="A22" s="26" t="s">
        <v>89</v>
      </c>
      <c r="B22" s="26">
        <f>AVERAGE(D9:D13)</f>
        <v>17.864999999999998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</row>
    <row r="23" spans="1:12" x14ac:dyDescent="0.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</row>
    <row r="24" spans="1:12" x14ac:dyDescent="0.3">
      <c r="A24" s="25" t="s">
        <v>68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</row>
    <row r="25" spans="1:12" x14ac:dyDescent="0.3">
      <c r="A25" s="26"/>
      <c r="B25" s="35" t="s">
        <v>90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</row>
    <row r="26" spans="1:12" x14ac:dyDescent="0.3">
      <c r="A26" s="26"/>
      <c r="B26" s="56">
        <f>B22*F16</f>
        <v>1373.8185000000001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</row>
    <row r="27" spans="1:12" x14ac:dyDescent="0.3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</row>
    <row r="28" spans="1:12" x14ac:dyDescent="0.3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</row>
    <row r="29" spans="1:12" x14ac:dyDescent="0.3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</row>
    <row r="30" spans="1:12" x14ac:dyDescent="0.3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</row>
    <row r="31" spans="1:12" x14ac:dyDescent="0.3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</row>
    <row r="32" spans="1:12" x14ac:dyDescent="0.3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</row>
  </sheetData>
  <hyperlinks>
    <hyperlink ref="E9" r:id="rId1" xr:uid="{0692A212-570F-40AB-937F-3971D0C3BE24}"/>
    <hyperlink ref="E13" r:id="rId2" display="P/E Ratio 9Volex Plc (Yahoo Finance, 2023)" xr:uid="{E99E8AD0-C33F-4D23-B26C-3C7C17BCA03A}"/>
  </hyperlinks>
  <pageMargins left="0.7" right="0.7" top="0.75" bottom="0.75" header="0.3" footer="0.3"/>
  <pageSetup paperSize="9" orientation="portrait" r:id="rId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061AD-AD09-4539-B70A-748B874E4278}">
  <dimension ref="A1:Q32"/>
  <sheetViews>
    <sheetView workbookViewId="0">
      <selection activeCell="Q31" sqref="Q31"/>
    </sheetView>
  </sheetViews>
  <sheetFormatPr defaultRowHeight="14.4" x14ac:dyDescent="0.3"/>
  <cols>
    <col min="1" max="11" width="8.88671875" style="1"/>
    <col min="12" max="12" width="13.109375" style="1" customWidth="1"/>
    <col min="13" max="16384" width="8.88671875" style="1"/>
  </cols>
  <sheetData>
    <row r="1" spans="1:17" x14ac:dyDescent="0.3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7" x14ac:dyDescent="0.3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7" ht="15.6" x14ac:dyDescent="0.3">
      <c r="A3" s="26"/>
      <c r="B3" s="18" t="s">
        <v>69</v>
      </c>
      <c r="C3" s="18"/>
      <c r="D3" s="26"/>
      <c r="E3" s="26"/>
      <c r="F3" s="26"/>
      <c r="G3" s="26"/>
      <c r="H3" s="26" t="s">
        <v>71</v>
      </c>
      <c r="I3" s="26"/>
      <c r="J3" s="26"/>
      <c r="K3" s="26"/>
      <c r="L3" s="26"/>
    </row>
    <row r="4" spans="1:17" x14ac:dyDescent="0.3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</row>
    <row r="5" spans="1:17" x14ac:dyDescent="0.3">
      <c r="A5" s="26"/>
      <c r="B5" s="26" t="s">
        <v>70</v>
      </c>
      <c r="C5" s="26"/>
      <c r="D5" s="26"/>
      <c r="E5" s="26"/>
      <c r="F5" s="26"/>
      <c r="G5" s="26"/>
      <c r="H5" s="26">
        <v>120.3</v>
      </c>
      <c r="I5" s="26" t="s">
        <v>73</v>
      </c>
      <c r="J5" s="26"/>
      <c r="K5" s="26"/>
      <c r="L5" s="26"/>
    </row>
    <row r="6" spans="1:17" x14ac:dyDescent="0.3">
      <c r="A6" s="26"/>
      <c r="B6" s="26" t="s">
        <v>72</v>
      </c>
      <c r="C6" s="26"/>
      <c r="D6" s="26"/>
      <c r="E6" s="26"/>
      <c r="F6" s="26"/>
      <c r="G6" s="26"/>
      <c r="H6" s="26">
        <v>39.5</v>
      </c>
      <c r="I6" s="26" t="s">
        <v>74</v>
      </c>
      <c r="J6" s="26"/>
      <c r="K6" s="26"/>
      <c r="L6" s="26"/>
    </row>
    <row r="7" spans="1:17" x14ac:dyDescent="0.3">
      <c r="A7" s="26"/>
      <c r="B7" s="48" t="s">
        <v>75</v>
      </c>
      <c r="C7" s="40"/>
      <c r="D7" s="40"/>
      <c r="E7" s="40"/>
      <c r="F7" s="40"/>
      <c r="G7" s="40"/>
      <c r="H7" s="49">
        <f>SUM(H5:H6)</f>
        <v>159.80000000000001</v>
      </c>
      <c r="I7" s="26"/>
      <c r="J7" s="26"/>
      <c r="K7" s="26"/>
      <c r="L7" s="26"/>
    </row>
    <row r="8" spans="1:17" x14ac:dyDescent="0.3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</row>
    <row r="9" spans="1:17" x14ac:dyDescent="0.3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</row>
    <row r="10" spans="1:17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</row>
    <row r="11" spans="1:17" x14ac:dyDescent="0.3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</row>
    <row r="12" spans="1:17" ht="15.6" x14ac:dyDescent="0.3">
      <c r="A12" s="26"/>
      <c r="B12" s="18" t="s">
        <v>76</v>
      </c>
      <c r="C12" s="18"/>
      <c r="D12" s="18"/>
      <c r="E12" s="1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</row>
    <row r="13" spans="1:17" x14ac:dyDescent="0.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</row>
    <row r="14" spans="1:17" x14ac:dyDescent="0.3">
      <c r="A14" s="26"/>
      <c r="B14" s="35" t="s">
        <v>77</v>
      </c>
      <c r="C14" s="26"/>
      <c r="D14" s="26"/>
      <c r="E14" s="26"/>
      <c r="F14" s="26"/>
      <c r="G14" s="50" t="s">
        <v>78</v>
      </c>
      <c r="H14" s="26"/>
      <c r="I14" s="26"/>
      <c r="J14" s="26"/>
      <c r="K14" s="26"/>
      <c r="L14" s="26"/>
      <c r="M14" s="26"/>
      <c r="N14" s="26"/>
      <c r="O14" s="26"/>
      <c r="P14" s="26"/>
      <c r="Q14" s="53"/>
    </row>
    <row r="15" spans="1:17" x14ac:dyDescent="0.3">
      <c r="A15" s="26"/>
      <c r="B15" s="35" t="s">
        <v>83</v>
      </c>
      <c r="C15" s="26"/>
      <c r="D15" s="26"/>
      <c r="E15" s="26"/>
      <c r="F15" s="26"/>
      <c r="G15" s="26" t="s">
        <v>84</v>
      </c>
      <c r="H15" s="26"/>
      <c r="I15" s="26"/>
      <c r="J15" s="26"/>
      <c r="K15" s="26"/>
      <c r="L15" s="26"/>
      <c r="M15" s="46"/>
      <c r="N15" s="26"/>
      <c r="O15" s="26"/>
      <c r="P15" s="26"/>
      <c r="Q15" s="47" t="s">
        <v>85</v>
      </c>
    </row>
    <row r="16" spans="1:17" x14ac:dyDescent="0.3">
      <c r="A16" s="26"/>
      <c r="B16" s="30">
        <f>13.4/1.84</f>
        <v>7.2826086956521738</v>
      </c>
      <c r="C16" s="26"/>
      <c r="D16" s="26"/>
      <c r="E16" s="26"/>
      <c r="F16" s="26"/>
      <c r="G16" s="26" t="s">
        <v>86</v>
      </c>
      <c r="I16" s="26"/>
      <c r="J16" s="26"/>
      <c r="K16" s="26"/>
      <c r="L16" s="26"/>
      <c r="M16" s="46"/>
      <c r="N16" s="26"/>
      <c r="O16" s="26"/>
      <c r="P16" s="26"/>
      <c r="Q16" s="47" t="s">
        <v>87</v>
      </c>
    </row>
    <row r="17" spans="1:16" x14ac:dyDescent="0.3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</row>
    <row r="18" spans="1:16" x14ac:dyDescent="0.3">
      <c r="A18" s="26"/>
      <c r="B18" s="25" t="s">
        <v>92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</row>
    <row r="19" spans="1:16" x14ac:dyDescent="0.3">
      <c r="A19" s="26"/>
      <c r="B19" s="35" t="s">
        <v>77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</row>
    <row r="20" spans="1:16" x14ac:dyDescent="0.3">
      <c r="A20" s="26"/>
      <c r="B20" s="26">
        <f>7.58</f>
        <v>7.58</v>
      </c>
      <c r="C20" s="26"/>
      <c r="D20" s="26"/>
      <c r="E20" s="26" t="s">
        <v>93</v>
      </c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</row>
    <row r="21" spans="1:16" x14ac:dyDescent="0.3">
      <c r="A21" s="26"/>
      <c r="E21" s="46" t="s">
        <v>94</v>
      </c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</row>
    <row r="22" spans="1:16" x14ac:dyDescent="0.3">
      <c r="A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</row>
    <row r="23" spans="1:16" x14ac:dyDescent="0.3">
      <c r="A23" s="26"/>
      <c r="B23" s="25" t="s">
        <v>95</v>
      </c>
      <c r="E23" s="30">
        <f>+AVERAGE(B16,B20)</f>
        <v>7.431304347826087</v>
      </c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</row>
    <row r="24" spans="1:16" x14ac:dyDescent="0.3">
      <c r="A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</row>
    <row r="25" spans="1:16" ht="15.6" x14ac:dyDescent="0.3">
      <c r="A25" s="26"/>
      <c r="B25" s="18" t="s">
        <v>79</v>
      </c>
      <c r="C25" s="18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</row>
    <row r="26" spans="1:16" x14ac:dyDescent="0.3">
      <c r="A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</row>
    <row r="27" spans="1:16" x14ac:dyDescent="0.3">
      <c r="A27" s="26"/>
      <c r="B27" s="35" t="s">
        <v>80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</row>
    <row r="28" spans="1:16" x14ac:dyDescent="0.3">
      <c r="A28" s="26"/>
      <c r="B28" s="35" t="s">
        <v>96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16" x14ac:dyDescent="0.3">
      <c r="A29" s="26"/>
      <c r="B29" s="26">
        <f>H7*E23</f>
        <v>1187.5224347826088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</row>
    <row r="30" spans="1:16" x14ac:dyDescent="0.3">
      <c r="B30" s="26"/>
      <c r="C30" s="26"/>
      <c r="D30" s="26"/>
      <c r="E30" s="26"/>
    </row>
    <row r="31" spans="1:16" x14ac:dyDescent="0.3">
      <c r="B31" s="25" t="s">
        <v>97</v>
      </c>
      <c r="C31" s="25"/>
      <c r="D31" s="25"/>
      <c r="E31" s="26"/>
    </row>
    <row r="32" spans="1:16" x14ac:dyDescent="0.3">
      <c r="B32" s="26"/>
      <c r="C32" s="26"/>
      <c r="D32" s="26"/>
      <c r="E32" s="26"/>
    </row>
  </sheetData>
  <hyperlinks>
    <hyperlink ref="G14" r:id="rId1" xr:uid="{A0317D26-47AE-4369-8178-3F55A2E5C352}"/>
    <hyperlink ref="Q15" r:id="rId2" xr:uid="{A2921893-85EE-4233-A350-28F1C65E56C7}"/>
    <hyperlink ref="Q16" r:id="rId3" xr:uid="{D30AF8EA-9948-4A10-A92C-8136CCAA024D}"/>
    <hyperlink ref="E21" r:id="rId4" xr:uid="{85D3B527-1D49-4D6C-8A78-02CEB438894E}"/>
  </hyperlinks>
  <pageMargins left="0.7" right="0.7" top="0.75" bottom="0.75" header="0.3" footer="0.3"/>
  <pageSetup paperSize="9"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Ratios</vt:lpstr>
      <vt:lpstr>CAPM</vt:lpstr>
      <vt:lpstr>COSTS</vt:lpstr>
      <vt:lpstr>WACC</vt:lpstr>
      <vt:lpstr>PE Valuation</vt:lpstr>
      <vt:lpstr>EBITDA 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Rajendran</dc:creator>
  <cp:lastModifiedBy>Sanjay Rajendran</cp:lastModifiedBy>
  <dcterms:created xsi:type="dcterms:W3CDTF">2024-11-30T11:49:56Z</dcterms:created>
  <dcterms:modified xsi:type="dcterms:W3CDTF">2026-02-02T18:23:33Z</dcterms:modified>
</cp:coreProperties>
</file>